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5EEBFF60-C4F6-47EA-97A1-195F15ACC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rant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H16" i="1"/>
  <c r="H17" i="1" s="1"/>
  <c r="E16" i="1"/>
  <c r="B16" i="1"/>
  <c r="A2" i="1"/>
  <c r="H18" i="1" l="1"/>
  <c r="I17" i="1"/>
  <c r="I16" i="1"/>
  <c r="I18" i="1" l="1"/>
  <c r="H19" i="1"/>
  <c r="H20" i="1" l="1"/>
  <c r="I19" i="1"/>
  <c r="H21" i="1" l="1"/>
  <c r="I20" i="1"/>
  <c r="H22" i="1" l="1"/>
  <c r="I21" i="1"/>
  <c r="H23" i="1" l="1"/>
  <c r="I22" i="1"/>
  <c r="H24" i="1" l="1"/>
  <c r="I23" i="1"/>
  <c r="H25" i="1" l="1"/>
  <c r="I24" i="1"/>
  <c r="H26" i="1" l="1"/>
  <c r="I25" i="1"/>
  <c r="I26" i="1" l="1"/>
  <c r="H27" i="1"/>
  <c r="I27" i="1" l="1"/>
  <c r="H28" i="1"/>
  <c r="H29" i="1" l="1"/>
  <c r="I28" i="1"/>
  <c r="H30" i="1" l="1"/>
  <c r="I29" i="1"/>
  <c r="H31" i="1" l="1"/>
  <c r="I30" i="1"/>
  <c r="H32" i="1" l="1"/>
  <c r="I31" i="1"/>
  <c r="H33" i="1" l="1"/>
  <c r="I32" i="1"/>
  <c r="H34" i="1" l="1"/>
  <c r="I33" i="1"/>
  <c r="H35" i="1" l="1"/>
  <c r="I34" i="1"/>
  <c r="H36" i="1" l="1"/>
  <c r="I35" i="1"/>
  <c r="H37" i="1" l="1"/>
  <c r="I36" i="1"/>
  <c r="I37" i="1" l="1"/>
  <c r="H38" i="1"/>
  <c r="H39" i="1" l="1"/>
  <c r="I38" i="1"/>
  <c r="I39" i="1" l="1"/>
  <c r="H40" i="1"/>
  <c r="H41" i="1" l="1"/>
  <c r="I40" i="1"/>
  <c r="H42" i="1" l="1"/>
  <c r="I41" i="1"/>
  <c r="I42" i="1" l="1"/>
  <c r="H43" i="1"/>
  <c r="I43" i="1" l="1"/>
  <c r="H44" i="1"/>
  <c r="H45" i="1" l="1"/>
  <c r="I44" i="1"/>
  <c r="H46" i="1" l="1"/>
  <c r="I45" i="1"/>
  <c r="H47" i="1" l="1"/>
  <c r="I46" i="1"/>
  <c r="H48" i="1" l="1"/>
  <c r="I47" i="1"/>
  <c r="H49" i="1" l="1"/>
  <c r="I48" i="1"/>
  <c r="H50" i="1" l="1"/>
  <c r="I49" i="1"/>
  <c r="H51" i="1" l="1"/>
  <c r="I50" i="1"/>
  <c r="H52" i="1" l="1"/>
  <c r="I51" i="1"/>
  <c r="H53" i="1" l="1"/>
  <c r="I52" i="1"/>
  <c r="I53" i="1" l="1"/>
  <c r="H54" i="1"/>
  <c r="H55" i="1" l="1"/>
  <c r="I54" i="1"/>
  <c r="H56" i="1" l="1"/>
  <c r="I55" i="1"/>
  <c r="H57" i="1" l="1"/>
  <c r="I56" i="1"/>
  <c r="H58" i="1" l="1"/>
  <c r="I57" i="1"/>
  <c r="H59" i="1" l="1"/>
  <c r="I58" i="1"/>
  <c r="H60" i="1" l="1"/>
  <c r="I59" i="1"/>
  <c r="H61" i="1" l="1"/>
  <c r="I61" i="1" s="1"/>
  <c r="I60" i="1"/>
</calcChain>
</file>

<file path=xl/sharedStrings.xml><?xml version="1.0" encoding="utf-8"?>
<sst xmlns="http://schemas.openxmlformats.org/spreadsheetml/2006/main" count="104" uniqueCount="104">
  <si>
    <t>The Masters</t>
  </si>
  <si>
    <t>Team Selection</t>
  </si>
  <si>
    <t>Rules:</t>
  </si>
  <si>
    <t>£10 Buy-in</t>
  </si>
  <si>
    <t>Pick 7 Golfers:</t>
  </si>
  <si>
    <t>2 from the Top 12</t>
  </si>
  <si>
    <t>3 from the Top 50 (Outside of Top 12)</t>
  </si>
  <si>
    <t>2 Wildcard (Outside of the Top 50)</t>
  </si>
  <si>
    <t>Your 4 best players will be your combined score, with anyone missing the cut having their score doubled. Like golf, lowest combined score wins.</t>
  </si>
  <si>
    <t>Top-12</t>
  </si>
  <si>
    <t>Top-50 (exc. Top 12)</t>
  </si>
  <si>
    <t>Full Field (Exc. Top 50)</t>
  </si>
  <si>
    <t>Full Field</t>
  </si>
  <si>
    <t>Scottie Scheffler</t>
  </si>
  <si>
    <t>Rory McIlroy</t>
  </si>
  <si>
    <t>Collin Morikawa</t>
  </si>
  <si>
    <t>Jon Rahm</t>
  </si>
  <si>
    <t>Xander Schauffele</t>
  </si>
  <si>
    <t>Justin Thomas</t>
  </si>
  <si>
    <t>Hideki Matsuyama</t>
  </si>
  <si>
    <t>Tommy Fleetwood</t>
  </si>
  <si>
    <t>Brooks Koepka</t>
  </si>
  <si>
    <t>Patrick Cantlay</t>
  </si>
  <si>
    <t>Jordan Spieth</t>
  </si>
  <si>
    <t>Shane Lowry</t>
  </si>
  <si>
    <t>Viktor Hovland</t>
  </si>
  <si>
    <t>Russell Henley</t>
  </si>
  <si>
    <t>Tyrrell Hatton</t>
  </si>
  <si>
    <t>Akshay Bhatia</t>
  </si>
  <si>
    <t>Cameron Smith</t>
  </si>
  <si>
    <t>Robert MacIntyre</t>
  </si>
  <si>
    <t>Corey Conners</t>
  </si>
  <si>
    <t>Sepp Straka</t>
  </si>
  <si>
    <t>Dustin Johnson</t>
  </si>
  <si>
    <t>Patrick Reed</t>
  </si>
  <si>
    <t>Sergio Garcia</t>
  </si>
  <si>
    <t>Jason Day</t>
  </si>
  <si>
    <t>Wyndham Clark</t>
  </si>
  <si>
    <t>Justin Rose</t>
  </si>
  <si>
    <t>Brian Harman</t>
  </si>
  <si>
    <t>Keegan Bradley</t>
  </si>
  <si>
    <t>Maverick McNealy</t>
  </si>
  <si>
    <t>Aaron Rai</t>
  </si>
  <si>
    <t>Adam Scott</t>
  </si>
  <si>
    <t>Daniel Berger</t>
  </si>
  <si>
    <t>Matt Fitzpatrick</t>
  </si>
  <si>
    <t>Sam Burns</t>
  </si>
  <si>
    <t>Sungjae Im</t>
  </si>
  <si>
    <t>Cameron Young</t>
  </si>
  <si>
    <t>J.J. Spaun</t>
  </si>
  <si>
    <t>Harris English</t>
  </si>
  <si>
    <t>Max Homa</t>
  </si>
  <si>
    <t>Michael Kim</t>
  </si>
  <si>
    <t>Charl Schwartzel</t>
  </si>
  <si>
    <t>Max Greyserman</t>
  </si>
  <si>
    <t>Nick Taylor</t>
  </si>
  <si>
    <t>Danny Willett</t>
  </si>
  <si>
    <t>Davis Riley</t>
  </si>
  <si>
    <t>Bubba Watson</t>
  </si>
  <si>
    <t>Matt McCarty</t>
  </si>
  <si>
    <t>Brian Campbell</t>
  </si>
  <si>
    <t>Zach Johnson</t>
  </si>
  <si>
    <t>Angel Cabrera</t>
  </si>
  <si>
    <t>Fred Couples</t>
  </si>
  <si>
    <t>Vijay Singh</t>
  </si>
  <si>
    <t>Jose Maria Olazabal</t>
  </si>
  <si>
    <t>Mike Weir</t>
  </si>
  <si>
    <t>Bryson DeChambeau</t>
  </si>
  <si>
    <t>Ludvig Åberg</t>
  </si>
  <si>
    <t>Min Woo Lee</t>
  </si>
  <si>
    <t>Chris Gotterup</t>
  </si>
  <si>
    <t>Si Woo Kim</t>
  </si>
  <si>
    <t>Jacob Bridgeman</t>
  </si>
  <si>
    <t>Nicolai Højgaard</t>
  </si>
  <si>
    <t>Jake Knapp</t>
  </si>
  <si>
    <t>Marco Penge</t>
  </si>
  <si>
    <t>Gary Woodland</t>
  </si>
  <si>
    <t>Rasmus Højgaard</t>
  </si>
  <si>
    <t>Kurt Kitayama</t>
  </si>
  <si>
    <t>Ben Griffin</t>
  </si>
  <si>
    <t>Ryan Fox</t>
  </si>
  <si>
    <t>Casey Jarvis</t>
  </si>
  <si>
    <t>Harry Hall</t>
  </si>
  <si>
    <t>Alex Noren</t>
  </si>
  <si>
    <t>Ryan Gerard</t>
  </si>
  <si>
    <t>Sam Stevens</t>
  </si>
  <si>
    <t>Haotong Li</t>
  </si>
  <si>
    <t>Carlos Ortiz</t>
  </si>
  <si>
    <t>Sami Valimaki</t>
  </si>
  <si>
    <t>Aldrich Potgieter</t>
  </si>
  <si>
    <t>Rasmus Neergaard-Petersen</t>
  </si>
  <si>
    <t>Nicolas Echavarria</t>
  </si>
  <si>
    <t>Andrew Novak</t>
  </si>
  <si>
    <t>Tom McKibbin</t>
  </si>
  <si>
    <t>Michael Brennan</t>
  </si>
  <si>
    <t>Kristoffer Reitan</t>
  </si>
  <si>
    <t>John Keefer</t>
  </si>
  <si>
    <t>Fifa Laopakdee</t>
  </si>
  <si>
    <t>Naoyuki Kataoka</t>
  </si>
  <si>
    <t>Ethan Fang</t>
  </si>
  <si>
    <t>Brandon Holtz</t>
  </si>
  <si>
    <t>Mateo Pulcini</t>
  </si>
  <si>
    <t>Mason Howell</t>
  </si>
  <si>
    <t>Jackson Herrington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</si>
</sst>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F800]dddd\,\ mmmm\ dd\,\ 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Tms Rmn"/>
    </font>
    <font>
      <b/>
      <sz val="10"/>
      <name val="EYInterstate Light"/>
    </font>
    <font>
      <sz val="12"/>
      <name val="Times New Roman"/>
      <family val="1"/>
    </font>
    <font>
      <sz val="10"/>
      <name val="EYInterstate Light"/>
    </font>
    <font>
      <b/>
      <sz val="10"/>
      <color indexed="10"/>
      <name val="EYInterstate Light"/>
    </font>
    <font>
      <sz val="10"/>
      <name val="Times New Roman"/>
      <family val="1"/>
    </font>
    <font>
      <b/>
      <u/>
      <sz val="9"/>
      <color rgb="FF000000"/>
      <name val="Verdana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7" fillId="0" borderId="0" applyProtection="0"/>
  </cellStyleXfs>
  <cellXfs count="25">
    <xf numFmtId="0" fontId="0" fillId="0" borderId="0" xfId="0"/>
    <xf numFmtId="49" fontId="3" fillId="2" borderId="0" xfId="1" applyNumberFormat="1" applyFont="1" applyFill="1" applyBorder="1" applyAlignment="1" applyProtection="1">
      <alignment horizontal="left"/>
    </xf>
    <xf numFmtId="164" fontId="5" fillId="2" borderId="0" xfId="2" applyNumberFormat="1" applyFont="1" applyFill="1"/>
    <xf numFmtId="164" fontId="5" fillId="2" borderId="0" xfId="1" applyNumberFormat="1" applyFont="1" applyFill="1" applyBorder="1"/>
    <xf numFmtId="164" fontId="5" fillId="2" borderId="0" xfId="1" applyNumberFormat="1" applyFont="1" applyFill="1" applyBorder="1" applyAlignment="1">
      <alignment horizontal="center"/>
    </xf>
    <xf numFmtId="165" fontId="3" fillId="2" borderId="0" xfId="1" applyNumberFormat="1" applyFont="1" applyFill="1" applyBorder="1" applyAlignment="1" applyProtection="1">
      <alignment horizontal="left"/>
    </xf>
    <xf numFmtId="164" fontId="5" fillId="2" borderId="0" xfId="1" applyNumberFormat="1" applyFont="1" applyFill="1" applyBorder="1" applyAlignment="1">
      <alignment horizontal="right"/>
    </xf>
    <xf numFmtId="164" fontId="3" fillId="2" borderId="0" xfId="1" applyNumberFormat="1" applyFont="1" applyFill="1" applyBorder="1" applyAlignment="1" applyProtection="1">
      <alignment horizontal="center"/>
    </xf>
    <xf numFmtId="164" fontId="6" fillId="2" borderId="0" xfId="1" applyNumberFormat="1" applyFont="1" applyFill="1" applyBorder="1" applyAlignment="1" applyProtection="1">
      <alignment horizontal="center" vertical="center"/>
      <protection locked="0"/>
    </xf>
    <xf numFmtId="0" fontId="3" fillId="2" borderId="0" xfId="1" applyNumberFormat="1" applyFont="1" applyFill="1" applyBorder="1" applyAlignment="1" applyProtection="1">
      <alignment horizontal="left"/>
    </xf>
    <xf numFmtId="164" fontId="5" fillId="2" borderId="0" xfId="3" applyNumberFormat="1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 indent="1"/>
    </xf>
    <xf numFmtId="0" fontId="8" fillId="0" borderId="0" xfId="0" applyFont="1" applyAlignment="1">
      <alignment vertical="center"/>
    </xf>
    <xf numFmtId="0" fontId="9" fillId="0" borderId="0" xfId="0" applyFont="1"/>
    <xf numFmtId="16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0" fillId="0" borderId="0" xfId="0" applyFont="1" applyAlignment="1">
      <alignment vertical="center"/>
    </xf>
  </cellXfs>
  <cellStyles count="4">
    <cellStyle name="E&amp;Y House" xfId="1" xr:uid="{FB8C1397-95A0-4A24-928C-4F29AC758059}"/>
    <cellStyle name="Normal" xfId="0" builtinId="0"/>
    <cellStyle name="Normal 2" xfId="3" xr:uid="{13FEE1AB-26C4-4209-9889-F18E7996DAEB}"/>
    <cellStyle name="Normal_Global Futures XI Other Schedules  - 31.12.03" xfId="2" xr:uid="{E75AEA6F-BBEA-4D64-B2A8-70110F65B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N171"/>
  <sheetViews>
    <sheetView showGridLines="0" tabSelected="1" zoomScale="75" workbookViewId="0">
      <selection activeCell="M25" sqref="M25"/>
    </sheetView>
  </sheetViews>
  <sheetFormatPr defaultRowHeight="15"/>
  <cols>
    <col min="1" max="1" width="33.28515625" customWidth="1"/>
    <col min="2" max="2" width="23.7109375" customWidth="1"/>
    <col min="3" max="3" width="2.7109375" customWidth="1"/>
    <col min="4" max="4" width="14.7109375" customWidth="1"/>
    <col min="5" max="5" width="23.42578125" customWidth="1"/>
    <col min="6" max="6" width="18.42578125" customWidth="1"/>
    <col min="8" max="8" width="6.28515625" customWidth="1"/>
    <col min="9" max="9" width="25.42578125" customWidth="1"/>
    <col min="10" max="10" width="6.28515625" customWidth="1"/>
    <col min="13" max="13" width="31.5703125" customWidth="1"/>
    <col min="14" max="14" width="8.85546875" customWidth="1"/>
    <col min="16" max="16" width="18.5703125" bestFit="1" customWidth="1"/>
    <col min="17" max="17" width="13" bestFit="1" customWidth="1"/>
    <col min="18" max="168" width="26.28515625" bestFit="1" customWidth="1"/>
    <col min="169" max="169" width="11.5703125" bestFit="1" customWidth="1"/>
  </cols>
  <sheetData>
    <row r="1" spans="1:14">
      <c r="A1" s="1" t="s">
        <v>0</v>
      </c>
      <c r="C1" s="2"/>
      <c r="D1" s="3"/>
      <c r="E1" s="3"/>
      <c r="F1" s="2"/>
      <c r="G1" s="4"/>
    </row>
    <row r="2" spans="1:14">
      <c r="A2" s="5">
        <f ca="1">TODAY()</f>
        <v>46118</v>
      </c>
      <c r="C2" s="2"/>
      <c r="D2" s="6"/>
      <c r="E2" s="7"/>
      <c r="F2" s="7"/>
      <c r="G2" s="8"/>
    </row>
    <row r="3" spans="1:14">
      <c r="A3" s="9" t="s">
        <v>1</v>
      </c>
      <c r="C3" s="2"/>
      <c r="D3" s="6"/>
      <c r="E3" s="7"/>
      <c r="F3" s="7"/>
      <c r="G3" s="10"/>
    </row>
    <row r="5" spans="1:14" ht="15.75" thickBot="1"/>
    <row r="6" spans="1:14">
      <c r="A6" s="11" t="s">
        <v>2</v>
      </c>
      <c r="B6" s="12"/>
      <c r="C6" s="12"/>
      <c r="D6" s="13"/>
    </row>
    <row r="7" spans="1:14">
      <c r="A7" s="14" t="s">
        <v>3</v>
      </c>
      <c r="D7" s="15"/>
    </row>
    <row r="8" spans="1:14">
      <c r="A8" s="14" t="s">
        <v>4</v>
      </c>
      <c r="D8" s="15"/>
    </row>
    <row r="9" spans="1:14">
      <c r="A9" s="16" t="s">
        <v>5</v>
      </c>
      <c r="D9" s="15"/>
    </row>
    <row r="10" spans="1:14">
      <c r="A10" s="16" t="s">
        <v>6</v>
      </c>
      <c r="D10" s="15"/>
    </row>
    <row r="11" spans="1:14">
      <c r="A11" s="16" t="s">
        <v>7</v>
      </c>
      <c r="D11" s="15"/>
    </row>
    <row r="12" spans="1:14" ht="35.65" customHeight="1" thickBot="1">
      <c r="A12" s="21" t="s">
        <v>8</v>
      </c>
      <c r="B12" s="22"/>
      <c r="C12" s="22"/>
      <c r="D12" s="23"/>
    </row>
    <row r="15" spans="1:14" ht="15.75" customHeight="1">
      <c r="B15" s="17" t="s">
        <v>9</v>
      </c>
      <c r="E15" s="17" t="s">
        <v>10</v>
      </c>
      <c r="H15" s="18"/>
      <c r="I15" s="17" t="s">
        <v>11</v>
      </c>
      <c r="J15" s="18"/>
      <c r="M15" s="17" t="s">
        <v>12</v>
      </c>
      <c r="N15" s="18"/>
    </row>
    <row r="16" spans="1:14">
      <c r="A16">
        <v>1</v>
      </c>
      <c r="B16" t="str">
        <f>VLOOKUP(A16,L:M,2,0)</f>
        <v>Scottie Scheffler</v>
      </c>
      <c r="D16">
        <v>13</v>
      </c>
      <c r="E16" t="str">
        <f t="shared" ref="E16:E53" si="0">VLOOKUP(D16,L:M,2,0)</f>
        <v>Patrick Reed</v>
      </c>
      <c r="H16">
        <f>D53+1</f>
        <v>51</v>
      </c>
      <c r="I16" t="str">
        <f t="shared" ref="I16:I61" si="1">VLOOKUP(H16,L:M,2,0)</f>
        <v>Keegan Bradley</v>
      </c>
      <c r="L16">
        <v>1</v>
      </c>
      <c r="M16" s="24" t="s">
        <v>13</v>
      </c>
    </row>
    <row r="17" spans="1:13">
      <c r="A17">
        <v>2</v>
      </c>
      <c r="B17" t="str">
        <f t="shared" ref="B17:B27" si="2">VLOOKUP(A17,L:M,2,0)</f>
        <v>Jon Rahm</v>
      </c>
      <c r="C17" s="19"/>
      <c r="D17">
        <v>14</v>
      </c>
      <c r="E17" t="str">
        <f t="shared" si="0"/>
        <v>Hideki Matsuyama</v>
      </c>
      <c r="H17">
        <f>H16+1</f>
        <v>52</v>
      </c>
      <c r="I17" t="str">
        <f t="shared" si="1"/>
        <v>Dustin Johnson</v>
      </c>
      <c r="L17">
        <v>2</v>
      </c>
      <c r="M17" s="24" t="s">
        <v>16</v>
      </c>
    </row>
    <row r="18" spans="1:13">
      <c r="A18">
        <v>3</v>
      </c>
      <c r="B18" t="str">
        <f t="shared" si="2"/>
        <v>Bryson DeChambeau</v>
      </c>
      <c r="D18">
        <v>15</v>
      </c>
      <c r="E18" t="str">
        <f t="shared" si="0"/>
        <v>Min Woo Lee</v>
      </c>
      <c r="H18">
        <f t="shared" ref="H18:H61" si="3">H17+1</f>
        <v>53</v>
      </c>
      <c r="I18" t="str">
        <f t="shared" si="1"/>
        <v>Harry Hall</v>
      </c>
      <c r="L18">
        <v>3</v>
      </c>
      <c r="M18" s="24" t="s">
        <v>67</v>
      </c>
    </row>
    <row r="19" spans="1:13">
      <c r="A19">
        <v>4</v>
      </c>
      <c r="B19" t="str">
        <f t="shared" si="2"/>
        <v>Rory McIlroy</v>
      </c>
      <c r="C19" s="19"/>
      <c r="D19">
        <v>16</v>
      </c>
      <c r="E19" t="str">
        <f t="shared" si="0"/>
        <v>Jordan Spieth</v>
      </c>
      <c r="H19">
        <f t="shared" si="3"/>
        <v>54</v>
      </c>
      <c r="I19" t="str">
        <f t="shared" si="1"/>
        <v>Alex Noren</v>
      </c>
      <c r="L19">
        <v>4</v>
      </c>
      <c r="M19" s="24" t="s">
        <v>14</v>
      </c>
    </row>
    <row r="20" spans="1:13">
      <c r="A20">
        <v>5</v>
      </c>
      <c r="B20" t="str">
        <f t="shared" si="2"/>
        <v>Ludvig Åberg</v>
      </c>
      <c r="D20">
        <v>17</v>
      </c>
      <c r="E20" t="str">
        <f t="shared" si="0"/>
        <v>Brooks Koepka</v>
      </c>
      <c r="H20">
        <f t="shared" si="3"/>
        <v>55</v>
      </c>
      <c r="I20" t="str">
        <f t="shared" si="1"/>
        <v>Ryan Gerard</v>
      </c>
      <c r="L20">
        <v>5</v>
      </c>
      <c r="M20" s="24" t="s">
        <v>68</v>
      </c>
    </row>
    <row r="21" spans="1:13">
      <c r="A21">
        <v>6</v>
      </c>
      <c r="B21" t="str">
        <f t="shared" si="2"/>
        <v>Xander Schauffele</v>
      </c>
      <c r="D21">
        <v>18</v>
      </c>
      <c r="E21" t="str">
        <f t="shared" si="0"/>
        <v>Chris Gotterup</v>
      </c>
      <c r="H21">
        <f t="shared" si="3"/>
        <v>56</v>
      </c>
      <c r="I21" t="str">
        <f>VLOOKUP(H21,L:M,2,0)</f>
        <v>Michael Kim</v>
      </c>
      <c r="L21">
        <v>6</v>
      </c>
      <c r="M21" s="24" t="s">
        <v>17</v>
      </c>
    </row>
    <row r="22" spans="1:13">
      <c r="A22">
        <v>7</v>
      </c>
      <c r="B22" t="str">
        <f t="shared" si="2"/>
        <v>Cameron Young</v>
      </c>
      <c r="D22">
        <v>19</v>
      </c>
      <c r="E22" t="str">
        <f t="shared" si="0"/>
        <v>Viktor Hovland</v>
      </c>
      <c r="H22">
        <f t="shared" si="3"/>
        <v>57</v>
      </c>
      <c r="I22" t="str">
        <f t="shared" si="1"/>
        <v>Nick Taylor</v>
      </c>
      <c r="L22">
        <v>7</v>
      </c>
      <c r="M22" s="24" t="s">
        <v>48</v>
      </c>
    </row>
    <row r="23" spans="1:13">
      <c r="A23">
        <v>8</v>
      </c>
      <c r="B23" t="str">
        <f t="shared" si="2"/>
        <v>Matt Fitzpatrick</v>
      </c>
      <c r="D23">
        <v>20</v>
      </c>
      <c r="E23" t="str">
        <f t="shared" si="0"/>
        <v>Shane Lowry</v>
      </c>
      <c r="H23">
        <f t="shared" si="3"/>
        <v>58</v>
      </c>
      <c r="I23" t="str">
        <f t="shared" si="1"/>
        <v>Sam Stevens</v>
      </c>
      <c r="L23">
        <v>8</v>
      </c>
      <c r="M23" s="24" t="s">
        <v>45</v>
      </c>
    </row>
    <row r="24" spans="1:13">
      <c r="A24">
        <v>9</v>
      </c>
      <c r="B24" t="str">
        <f t="shared" si="2"/>
        <v>Tommy Fleetwood</v>
      </c>
      <c r="D24">
        <v>21</v>
      </c>
      <c r="E24" t="str">
        <f t="shared" si="0"/>
        <v>Si Woo Kim</v>
      </c>
      <c r="H24">
        <f t="shared" si="3"/>
        <v>59</v>
      </c>
      <c r="I24" t="str">
        <f t="shared" si="1"/>
        <v>Wyndham Clark</v>
      </c>
      <c r="L24">
        <v>9</v>
      </c>
      <c r="M24" s="24" t="s">
        <v>20</v>
      </c>
    </row>
    <row r="25" spans="1:13">
      <c r="A25">
        <v>10</v>
      </c>
      <c r="B25" t="str">
        <f t="shared" si="2"/>
        <v>Robert MacIntyre</v>
      </c>
      <c r="D25">
        <v>22</v>
      </c>
      <c r="E25" t="str">
        <f t="shared" si="0"/>
        <v>Russell Henley</v>
      </c>
      <c r="H25">
        <f t="shared" si="3"/>
        <v>60</v>
      </c>
      <c r="I25" t="str">
        <f t="shared" si="1"/>
        <v>Haotong Li</v>
      </c>
      <c r="L25">
        <v>10</v>
      </c>
      <c r="M25" s="24" t="s">
        <v>30</v>
      </c>
    </row>
    <row r="26" spans="1:13">
      <c r="A26">
        <v>11</v>
      </c>
      <c r="B26" t="str">
        <f t="shared" si="2"/>
        <v>Collin Morikawa</v>
      </c>
      <c r="D26">
        <v>23</v>
      </c>
      <c r="E26" t="str">
        <f t="shared" si="0"/>
        <v>Akshay Bhatia</v>
      </c>
      <c r="H26">
        <f t="shared" si="3"/>
        <v>61</v>
      </c>
      <c r="I26" t="str">
        <f t="shared" si="1"/>
        <v>Carlos Ortiz</v>
      </c>
      <c r="L26">
        <v>11</v>
      </c>
      <c r="M26" s="24" t="s">
        <v>15</v>
      </c>
    </row>
    <row r="27" spans="1:13">
      <c r="A27">
        <v>12</v>
      </c>
      <c r="B27" t="str">
        <f t="shared" si="2"/>
        <v>Justin Rose</v>
      </c>
      <c r="D27">
        <v>24</v>
      </c>
      <c r="E27" t="str">
        <f t="shared" si="0"/>
        <v>Jacob Bridgeman</v>
      </c>
      <c r="H27">
        <f t="shared" si="3"/>
        <v>62</v>
      </c>
      <c r="I27" t="str">
        <f t="shared" si="1"/>
        <v>Sami Valimaki</v>
      </c>
      <c r="L27">
        <v>12</v>
      </c>
      <c r="M27" s="24" t="s">
        <v>38</v>
      </c>
    </row>
    <row r="28" spans="1:13">
      <c r="D28">
        <v>25</v>
      </c>
      <c r="E28" t="str">
        <f t="shared" si="0"/>
        <v>Patrick Cantlay</v>
      </c>
      <c r="H28">
        <f t="shared" si="3"/>
        <v>63</v>
      </c>
      <c r="I28" t="str">
        <f t="shared" si="1"/>
        <v>Max Greyserman</v>
      </c>
      <c r="L28">
        <v>13</v>
      </c>
      <c r="M28" s="24" t="s">
        <v>34</v>
      </c>
    </row>
    <row r="29" spans="1:13">
      <c r="D29">
        <v>26</v>
      </c>
      <c r="E29" t="str">
        <f t="shared" si="0"/>
        <v>Nicolai Højgaard</v>
      </c>
      <c r="H29">
        <f t="shared" si="3"/>
        <v>64</v>
      </c>
      <c r="I29" t="str">
        <f t="shared" si="1"/>
        <v>Sergio Garcia</v>
      </c>
      <c r="L29">
        <v>14</v>
      </c>
      <c r="M29" s="24" t="s">
        <v>19</v>
      </c>
    </row>
    <row r="30" spans="1:13">
      <c r="D30">
        <v>27</v>
      </c>
      <c r="E30" t="str">
        <f t="shared" si="0"/>
        <v>Jake Knapp</v>
      </c>
      <c r="H30">
        <f t="shared" si="3"/>
        <v>65</v>
      </c>
      <c r="I30" t="str">
        <f t="shared" si="1"/>
        <v>Aldrich Potgieter</v>
      </c>
      <c r="L30">
        <v>15</v>
      </c>
      <c r="M30" s="24" t="s">
        <v>69</v>
      </c>
    </row>
    <row r="31" spans="1:13">
      <c r="D31">
        <v>28</v>
      </c>
      <c r="E31" t="str">
        <f t="shared" si="0"/>
        <v>Tyrrell Hatton</v>
      </c>
      <c r="H31">
        <f t="shared" si="3"/>
        <v>66</v>
      </c>
      <c r="I31" t="str">
        <f t="shared" si="1"/>
        <v>Rasmus Neergaard-Petersen</v>
      </c>
      <c r="L31">
        <v>16</v>
      </c>
      <c r="M31" s="24" t="s">
        <v>23</v>
      </c>
    </row>
    <row r="32" spans="1:13">
      <c r="D32">
        <v>29</v>
      </c>
      <c r="E32" t="str">
        <f t="shared" si="0"/>
        <v>Sepp Straka</v>
      </c>
      <c r="H32">
        <f t="shared" si="3"/>
        <v>67</v>
      </c>
      <c r="I32" t="str">
        <f t="shared" si="1"/>
        <v>Nicolas Echavarria</v>
      </c>
      <c r="L32">
        <v>17</v>
      </c>
      <c r="M32" s="24" t="s">
        <v>21</v>
      </c>
    </row>
    <row r="33" spans="4:13">
      <c r="D33">
        <v>30</v>
      </c>
      <c r="E33" t="str">
        <f t="shared" si="0"/>
        <v>J.J. Spaun</v>
      </c>
      <c r="H33">
        <f t="shared" si="3"/>
        <v>68</v>
      </c>
      <c r="I33" t="str">
        <f t="shared" si="1"/>
        <v>Andrew Novak</v>
      </c>
      <c r="L33">
        <v>18</v>
      </c>
      <c r="M33" s="24" t="s">
        <v>70</v>
      </c>
    </row>
    <row r="34" spans="4:13">
      <c r="D34">
        <v>31</v>
      </c>
      <c r="E34" t="str">
        <f t="shared" si="0"/>
        <v>Justin Thomas</v>
      </c>
      <c r="H34">
        <f t="shared" si="3"/>
        <v>69</v>
      </c>
      <c r="I34" t="str">
        <f t="shared" si="1"/>
        <v>Matt McCarty</v>
      </c>
      <c r="L34">
        <v>19</v>
      </c>
      <c r="M34" s="24" t="s">
        <v>25</v>
      </c>
    </row>
    <row r="35" spans="4:13">
      <c r="D35">
        <v>32</v>
      </c>
      <c r="E35" t="str">
        <f t="shared" si="0"/>
        <v>Adam Scott</v>
      </c>
      <c r="H35">
        <f t="shared" si="3"/>
        <v>70</v>
      </c>
      <c r="I35" t="str">
        <f t="shared" si="1"/>
        <v>Tom McKibbin</v>
      </c>
      <c r="L35">
        <v>20</v>
      </c>
      <c r="M35" s="24" t="s">
        <v>24</v>
      </c>
    </row>
    <row r="36" spans="4:13">
      <c r="D36">
        <v>33</v>
      </c>
      <c r="E36" t="str">
        <f t="shared" si="0"/>
        <v>Corey Conners</v>
      </c>
      <c r="H36">
        <f t="shared" si="3"/>
        <v>71</v>
      </c>
      <c r="I36" t="str">
        <f t="shared" si="1"/>
        <v>Michael Brennan</v>
      </c>
      <c r="L36">
        <v>21</v>
      </c>
      <c r="M36" s="24" t="s">
        <v>71</v>
      </c>
    </row>
    <row r="37" spans="4:13">
      <c r="D37">
        <v>34</v>
      </c>
      <c r="E37" t="str">
        <f t="shared" si="0"/>
        <v>Marco Penge</v>
      </c>
      <c r="H37">
        <f t="shared" si="3"/>
        <v>72</v>
      </c>
      <c r="I37" t="str">
        <f t="shared" si="1"/>
        <v>Kristoffer Reitan</v>
      </c>
      <c r="L37">
        <v>22</v>
      </c>
      <c r="M37" s="24" t="s">
        <v>26</v>
      </c>
    </row>
    <row r="38" spans="4:13">
      <c r="D38">
        <v>35</v>
      </c>
      <c r="E38" t="str">
        <f t="shared" si="0"/>
        <v>Cameron Smith</v>
      </c>
      <c r="H38">
        <f t="shared" si="3"/>
        <v>73</v>
      </c>
      <c r="I38" t="str">
        <f t="shared" si="1"/>
        <v>John Keefer</v>
      </c>
      <c r="L38">
        <v>23</v>
      </c>
      <c r="M38" s="24" t="s">
        <v>28</v>
      </c>
    </row>
    <row r="39" spans="4:13">
      <c r="D39">
        <v>36</v>
      </c>
      <c r="E39" t="str">
        <f t="shared" si="0"/>
        <v>Jason Day</v>
      </c>
      <c r="H39">
        <f t="shared" si="3"/>
        <v>74</v>
      </c>
      <c r="I39" t="str">
        <f t="shared" si="1"/>
        <v>Bubba Watson</v>
      </c>
      <c r="L39">
        <v>24</v>
      </c>
      <c r="M39" s="24" t="s">
        <v>72</v>
      </c>
    </row>
    <row r="40" spans="4:13">
      <c r="D40">
        <v>37</v>
      </c>
      <c r="E40" t="str">
        <f t="shared" si="0"/>
        <v>Maverick McNealy</v>
      </c>
      <c r="H40">
        <f t="shared" si="3"/>
        <v>75</v>
      </c>
      <c r="I40" t="str">
        <f t="shared" si="1"/>
        <v>Charl Schwartzel</v>
      </c>
      <c r="L40">
        <v>25</v>
      </c>
      <c r="M40" s="24" t="s">
        <v>22</v>
      </c>
    </row>
    <row r="41" spans="4:13">
      <c r="D41">
        <v>38</v>
      </c>
      <c r="E41" t="str">
        <f t="shared" si="0"/>
        <v>Sungjae Im</v>
      </c>
      <c r="H41">
        <f t="shared" si="3"/>
        <v>76</v>
      </c>
      <c r="I41" t="str">
        <f t="shared" si="1"/>
        <v>Zach Johnson</v>
      </c>
      <c r="L41">
        <v>26</v>
      </c>
      <c r="M41" s="24" t="s">
        <v>73</v>
      </c>
    </row>
    <row r="42" spans="4:13">
      <c r="D42">
        <v>39</v>
      </c>
      <c r="E42" t="str">
        <f t="shared" si="0"/>
        <v>Gary Woodland</v>
      </c>
      <c r="H42">
        <f t="shared" si="3"/>
        <v>77</v>
      </c>
      <c r="I42" t="str">
        <f t="shared" si="1"/>
        <v>Davis Riley</v>
      </c>
      <c r="L42">
        <v>27</v>
      </c>
      <c r="M42" s="24" t="s">
        <v>74</v>
      </c>
    </row>
    <row r="43" spans="4:13">
      <c r="D43">
        <v>40</v>
      </c>
      <c r="E43" t="str">
        <f t="shared" si="0"/>
        <v>Sam Burns</v>
      </c>
      <c r="H43">
        <f t="shared" si="3"/>
        <v>78</v>
      </c>
      <c r="I43" t="str">
        <f t="shared" si="1"/>
        <v>Fifa Laopakdee</v>
      </c>
      <c r="L43">
        <v>28</v>
      </c>
      <c r="M43" s="24" t="s">
        <v>27</v>
      </c>
    </row>
    <row r="44" spans="4:13">
      <c r="D44">
        <v>41</v>
      </c>
      <c r="E44" t="str">
        <f t="shared" si="0"/>
        <v>Harris English</v>
      </c>
      <c r="H44">
        <f t="shared" si="3"/>
        <v>79</v>
      </c>
      <c r="I44" t="str">
        <f t="shared" si="1"/>
        <v>Naoyuki Kataoka</v>
      </c>
      <c r="L44">
        <v>29</v>
      </c>
      <c r="M44" s="24" t="s">
        <v>32</v>
      </c>
    </row>
    <row r="45" spans="4:13">
      <c r="D45">
        <v>42</v>
      </c>
      <c r="E45" t="str">
        <f t="shared" si="0"/>
        <v>Max Homa</v>
      </c>
      <c r="H45">
        <f t="shared" si="3"/>
        <v>80</v>
      </c>
      <c r="I45" t="str">
        <f t="shared" si="1"/>
        <v>Danny Willett</v>
      </c>
      <c r="L45">
        <v>30</v>
      </c>
      <c r="M45" s="24" t="s">
        <v>49</v>
      </c>
    </row>
    <row r="46" spans="4:13">
      <c r="D46">
        <v>43</v>
      </c>
      <c r="E46" t="str">
        <f t="shared" si="0"/>
        <v>Brian Harman</v>
      </c>
      <c r="H46">
        <f t="shared" si="3"/>
        <v>81</v>
      </c>
      <c r="I46" t="str">
        <f t="shared" si="1"/>
        <v>Ethan Fang</v>
      </c>
      <c r="L46">
        <v>31</v>
      </c>
      <c r="M46" s="24" t="s">
        <v>18</v>
      </c>
    </row>
    <row r="47" spans="4:13">
      <c r="D47">
        <v>44</v>
      </c>
      <c r="E47" t="str">
        <f t="shared" si="0"/>
        <v>Daniel Berger</v>
      </c>
      <c r="H47">
        <f t="shared" si="3"/>
        <v>82</v>
      </c>
      <c r="I47" t="str">
        <f t="shared" si="1"/>
        <v>Jose Maria Olazabal</v>
      </c>
      <c r="L47">
        <v>32</v>
      </c>
      <c r="M47" s="24" t="s">
        <v>43</v>
      </c>
    </row>
    <row r="48" spans="4:13">
      <c r="D48">
        <v>45</v>
      </c>
      <c r="E48" t="str">
        <f t="shared" si="0"/>
        <v>Rasmus Højgaard</v>
      </c>
      <c r="H48">
        <f t="shared" si="3"/>
        <v>83</v>
      </c>
      <c r="I48" t="str">
        <f t="shared" si="1"/>
        <v>Brandon Holtz</v>
      </c>
      <c r="L48">
        <v>33</v>
      </c>
      <c r="M48" s="24" t="s">
        <v>31</v>
      </c>
    </row>
    <row r="49" spans="4:13">
      <c r="D49">
        <v>46</v>
      </c>
      <c r="E49" t="str">
        <f t="shared" si="0"/>
        <v>Aaron Rai</v>
      </c>
      <c r="H49">
        <f t="shared" si="3"/>
        <v>84</v>
      </c>
      <c r="I49" t="str">
        <f t="shared" si="1"/>
        <v>Mateo Pulcini</v>
      </c>
      <c r="L49">
        <v>34</v>
      </c>
      <c r="M49" s="24" t="s">
        <v>75</v>
      </c>
    </row>
    <row r="50" spans="4:13">
      <c r="D50">
        <v>47</v>
      </c>
      <c r="E50" t="str">
        <f t="shared" si="0"/>
        <v>Kurt Kitayama</v>
      </c>
      <c r="H50">
        <f t="shared" si="3"/>
        <v>85</v>
      </c>
      <c r="I50" t="str">
        <f t="shared" si="1"/>
        <v>Mason Howell</v>
      </c>
      <c r="L50">
        <v>35</v>
      </c>
      <c r="M50" s="24" t="s">
        <v>29</v>
      </c>
    </row>
    <row r="51" spans="4:13">
      <c r="D51">
        <v>48</v>
      </c>
      <c r="E51" t="str">
        <f t="shared" si="0"/>
        <v>Ben Griffin</v>
      </c>
      <c r="H51">
        <f t="shared" si="3"/>
        <v>86</v>
      </c>
      <c r="I51" t="str">
        <f t="shared" si="1"/>
        <v>Jackson Herrington</v>
      </c>
      <c r="L51">
        <v>36</v>
      </c>
      <c r="M51" s="24" t="s">
        <v>36</v>
      </c>
    </row>
    <row r="52" spans="4:13">
      <c r="D52">
        <v>49</v>
      </c>
      <c r="E52" t="str">
        <f t="shared" si="0"/>
        <v>Ryan Fox</v>
      </c>
      <c r="H52">
        <f t="shared" si="3"/>
        <v>87</v>
      </c>
      <c r="I52" t="str">
        <f t="shared" si="1"/>
        <v>Brian Campbell</v>
      </c>
      <c r="L52">
        <v>37</v>
      </c>
      <c r="M52" s="24" t="s">
        <v>41</v>
      </c>
    </row>
    <row r="53" spans="4:13">
      <c r="D53">
        <v>50</v>
      </c>
      <c r="E53" t="str">
        <f t="shared" si="0"/>
        <v>Casey Jarvis</v>
      </c>
      <c r="H53">
        <f t="shared" si="3"/>
        <v>88</v>
      </c>
      <c r="I53" t="str">
        <f t="shared" si="1"/>
        <v>Vijay Singh</v>
      </c>
      <c r="L53">
        <v>38</v>
      </c>
      <c r="M53" s="24" t="s">
        <v>47</v>
      </c>
    </row>
    <row r="54" spans="4:13">
      <c r="H54">
        <f t="shared" si="3"/>
        <v>89</v>
      </c>
      <c r="I54" t="str">
        <f t="shared" si="1"/>
        <v>Angel Cabrera</v>
      </c>
      <c r="L54">
        <v>39</v>
      </c>
      <c r="M54" s="24" t="s">
        <v>76</v>
      </c>
    </row>
    <row r="55" spans="4:13">
      <c r="H55">
        <f t="shared" si="3"/>
        <v>90</v>
      </c>
      <c r="I55" t="str">
        <f t="shared" si="1"/>
        <v>Mike Weir</v>
      </c>
      <c r="L55">
        <v>40</v>
      </c>
      <c r="M55" s="24" t="s">
        <v>46</v>
      </c>
    </row>
    <row r="56" spans="4:13">
      <c r="H56">
        <f t="shared" si="3"/>
        <v>91</v>
      </c>
      <c r="I56" t="str">
        <f t="shared" si="1"/>
        <v>Fred Couples</v>
      </c>
      <c r="L56">
        <v>41</v>
      </c>
      <c r="M56" s="24" t="s">
        <v>50</v>
      </c>
    </row>
    <row r="57" spans="4:13">
      <c r="H57">
        <f t="shared" si="3"/>
        <v>92</v>
      </c>
      <c r="I57" t="e">
        <f t="shared" si="1"/>
        <v>#N/A</v>
      </c>
      <c r="L57">
        <v>42</v>
      </c>
      <c r="M57" s="24" t="s">
        <v>51</v>
      </c>
    </row>
    <row r="58" spans="4:13">
      <c r="H58">
        <f t="shared" si="3"/>
        <v>93</v>
      </c>
      <c r="I58" t="e">
        <f t="shared" si="1"/>
        <v>#N/A</v>
      </c>
      <c r="L58">
        <v>43</v>
      </c>
      <c r="M58" s="24" t="s">
        <v>39</v>
      </c>
    </row>
    <row r="59" spans="4:13">
      <c r="H59">
        <f t="shared" si="3"/>
        <v>94</v>
      </c>
      <c r="I59" t="e">
        <f t="shared" si="1"/>
        <v>#N/A</v>
      </c>
      <c r="L59">
        <v>44</v>
      </c>
      <c r="M59" s="24" t="s">
        <v>44</v>
      </c>
    </row>
    <row r="60" spans="4:13">
      <c r="H60">
        <f t="shared" si="3"/>
        <v>95</v>
      </c>
      <c r="I60" t="e">
        <f t="shared" si="1"/>
        <v>#N/A</v>
      </c>
      <c r="L60">
        <v>45</v>
      </c>
      <c r="M60" s="24" t="s">
        <v>77</v>
      </c>
    </row>
    <row r="61" spans="4:13">
      <c r="H61">
        <f t="shared" si="3"/>
        <v>96</v>
      </c>
      <c r="I61" t="e">
        <f t="shared" si="1"/>
        <v>#N/A</v>
      </c>
      <c r="L61">
        <v>46</v>
      </c>
      <c r="M61" s="24" t="s">
        <v>42</v>
      </c>
    </row>
    <row r="62" spans="4:13">
      <c r="L62">
        <v>47</v>
      </c>
      <c r="M62" s="24" t="s">
        <v>78</v>
      </c>
    </row>
    <row r="63" spans="4:13">
      <c r="L63">
        <v>48</v>
      </c>
      <c r="M63" s="24" t="s">
        <v>79</v>
      </c>
    </row>
    <row r="64" spans="4:13">
      <c r="L64">
        <v>49</v>
      </c>
      <c r="M64" s="24" t="s">
        <v>80</v>
      </c>
    </row>
    <row r="65" spans="12:13">
      <c r="L65">
        <v>50</v>
      </c>
      <c r="M65" s="24" t="s">
        <v>81</v>
      </c>
    </row>
    <row r="66" spans="12:13">
      <c r="L66">
        <v>51</v>
      </c>
      <c r="M66" s="24" t="s">
        <v>40</v>
      </c>
    </row>
    <row r="67" spans="12:13">
      <c r="L67">
        <v>52</v>
      </c>
      <c r="M67" s="24" t="s">
        <v>33</v>
      </c>
    </row>
    <row r="68" spans="12:13">
      <c r="L68">
        <v>53</v>
      </c>
      <c r="M68" s="24" t="s">
        <v>82</v>
      </c>
    </row>
    <row r="69" spans="12:13">
      <c r="L69">
        <v>54</v>
      </c>
      <c r="M69" s="24" t="s">
        <v>83</v>
      </c>
    </row>
    <row r="70" spans="12:13">
      <c r="L70">
        <v>55</v>
      </c>
      <c r="M70" s="24" t="s">
        <v>84</v>
      </c>
    </row>
    <row r="71" spans="12:13">
      <c r="L71">
        <v>56</v>
      </c>
      <c r="M71" s="24" t="s">
        <v>52</v>
      </c>
    </row>
    <row r="72" spans="12:13">
      <c r="L72">
        <v>57</v>
      </c>
      <c r="M72" s="24" t="s">
        <v>55</v>
      </c>
    </row>
    <row r="73" spans="12:13">
      <c r="L73">
        <v>58</v>
      </c>
      <c r="M73" s="24" t="s">
        <v>85</v>
      </c>
    </row>
    <row r="74" spans="12:13">
      <c r="L74">
        <v>59</v>
      </c>
      <c r="M74" s="24" t="s">
        <v>37</v>
      </c>
    </row>
    <row r="75" spans="12:13">
      <c r="L75">
        <v>60</v>
      </c>
      <c r="M75" s="24" t="s">
        <v>86</v>
      </c>
    </row>
    <row r="76" spans="12:13">
      <c r="L76">
        <v>61</v>
      </c>
      <c r="M76" s="24" t="s">
        <v>87</v>
      </c>
    </row>
    <row r="77" spans="12:13">
      <c r="L77">
        <v>62</v>
      </c>
      <c r="M77" s="24" t="s">
        <v>88</v>
      </c>
    </row>
    <row r="78" spans="12:13">
      <c r="L78">
        <v>63</v>
      </c>
      <c r="M78" s="24" t="s">
        <v>54</v>
      </c>
    </row>
    <row r="79" spans="12:13">
      <c r="L79">
        <v>64</v>
      </c>
      <c r="M79" s="24" t="s">
        <v>35</v>
      </c>
    </row>
    <row r="80" spans="12:13">
      <c r="L80">
        <v>65</v>
      </c>
      <c r="M80" s="24" t="s">
        <v>89</v>
      </c>
    </row>
    <row r="81" spans="12:13">
      <c r="L81">
        <v>66</v>
      </c>
      <c r="M81" s="24" t="s">
        <v>90</v>
      </c>
    </row>
    <row r="82" spans="12:13">
      <c r="L82">
        <v>67</v>
      </c>
      <c r="M82" s="24" t="s">
        <v>91</v>
      </c>
    </row>
    <row r="83" spans="12:13">
      <c r="L83">
        <v>68</v>
      </c>
      <c r="M83" s="24" t="s">
        <v>92</v>
      </c>
    </row>
    <row r="84" spans="12:13">
      <c r="L84">
        <v>69</v>
      </c>
      <c r="M84" s="24" t="s">
        <v>59</v>
      </c>
    </row>
    <row r="85" spans="12:13">
      <c r="L85">
        <v>70</v>
      </c>
      <c r="M85" s="24" t="s">
        <v>93</v>
      </c>
    </row>
    <row r="86" spans="12:13">
      <c r="L86">
        <v>71</v>
      </c>
      <c r="M86" s="24" t="s">
        <v>94</v>
      </c>
    </row>
    <row r="87" spans="12:13">
      <c r="L87">
        <v>72</v>
      </c>
      <c r="M87" s="24" t="s">
        <v>95</v>
      </c>
    </row>
    <row r="88" spans="12:13">
      <c r="L88">
        <v>73</v>
      </c>
      <c r="M88" s="24" t="s">
        <v>96</v>
      </c>
    </row>
    <row r="89" spans="12:13">
      <c r="L89">
        <v>74</v>
      </c>
      <c r="M89" s="24" t="s">
        <v>58</v>
      </c>
    </row>
    <row r="90" spans="12:13">
      <c r="L90">
        <v>75</v>
      </c>
      <c r="M90" s="24" t="s">
        <v>53</v>
      </c>
    </row>
    <row r="91" spans="12:13">
      <c r="L91">
        <v>76</v>
      </c>
      <c r="M91" s="24" t="s">
        <v>61</v>
      </c>
    </row>
    <row r="92" spans="12:13">
      <c r="L92">
        <v>77</v>
      </c>
      <c r="M92" s="24" t="s">
        <v>57</v>
      </c>
    </row>
    <row r="93" spans="12:13">
      <c r="L93">
        <v>78</v>
      </c>
      <c r="M93" s="24" t="s">
        <v>97</v>
      </c>
    </row>
    <row r="94" spans="12:13">
      <c r="L94">
        <v>79</v>
      </c>
      <c r="M94" s="24" t="s">
        <v>98</v>
      </c>
    </row>
    <row r="95" spans="12:13">
      <c r="L95">
        <v>80</v>
      </c>
      <c r="M95" s="24" t="s">
        <v>56</v>
      </c>
    </row>
    <row r="96" spans="12:13">
      <c r="L96">
        <v>81</v>
      </c>
      <c r="M96" s="24" t="s">
        <v>99</v>
      </c>
    </row>
    <row r="97" spans="12:13">
      <c r="L97">
        <v>82</v>
      </c>
      <c r="M97" s="24" t="s">
        <v>65</v>
      </c>
    </row>
    <row r="98" spans="12:13">
      <c r="L98">
        <v>83</v>
      </c>
      <c r="M98" s="24" t="s">
        <v>100</v>
      </c>
    </row>
    <row r="99" spans="12:13">
      <c r="L99">
        <v>84</v>
      </c>
      <c r="M99" s="24" t="s">
        <v>101</v>
      </c>
    </row>
    <row r="100" spans="12:13">
      <c r="L100">
        <v>85</v>
      </c>
      <c r="M100" s="24" t="s">
        <v>102</v>
      </c>
    </row>
    <row r="101" spans="12:13">
      <c r="L101">
        <v>86</v>
      </c>
      <c r="M101" s="24" t="s">
        <v>103</v>
      </c>
    </row>
    <row r="102" spans="12:13">
      <c r="L102">
        <v>87</v>
      </c>
      <c r="M102" s="24" t="s">
        <v>60</v>
      </c>
    </row>
    <row r="103" spans="12:13">
      <c r="L103">
        <v>88</v>
      </c>
      <c r="M103" s="24" t="s">
        <v>64</v>
      </c>
    </row>
    <row r="104" spans="12:13">
      <c r="L104">
        <v>89</v>
      </c>
      <c r="M104" s="24" t="s">
        <v>62</v>
      </c>
    </row>
    <row r="105" spans="12:13">
      <c r="L105">
        <v>90</v>
      </c>
      <c r="M105" s="24" t="s">
        <v>66</v>
      </c>
    </row>
    <row r="106" spans="12:13">
      <c r="L106">
        <v>91</v>
      </c>
      <c r="M106" s="24" t="s">
        <v>63</v>
      </c>
    </row>
    <row r="112" spans="12:13">
      <c r="M112" s="20"/>
    </row>
    <row r="113" spans="13:13">
      <c r="M113" s="20"/>
    </row>
    <row r="114" spans="13:13">
      <c r="M114" s="20"/>
    </row>
    <row r="115" spans="13:13">
      <c r="M115" s="20"/>
    </row>
    <row r="116" spans="13:13">
      <c r="M116" s="20"/>
    </row>
    <row r="117" spans="13:13">
      <c r="M117" s="20"/>
    </row>
    <row r="118" spans="13:13">
      <c r="M118" s="20"/>
    </row>
    <row r="119" spans="13:13">
      <c r="M119" s="20"/>
    </row>
    <row r="120" spans="13:13">
      <c r="M120" s="20"/>
    </row>
    <row r="121" spans="13:13">
      <c r="M121" s="20"/>
    </row>
    <row r="122" spans="13:13">
      <c r="M122" s="20"/>
    </row>
    <row r="123" spans="13:13">
      <c r="M123" s="20"/>
    </row>
    <row r="124" spans="13:13">
      <c r="M124" s="20"/>
    </row>
    <row r="125" spans="13:13">
      <c r="M125" s="20"/>
    </row>
    <row r="126" spans="13:13">
      <c r="M126" s="20"/>
    </row>
    <row r="127" spans="13:13">
      <c r="M127" s="20"/>
    </row>
    <row r="128" spans="13:13">
      <c r="M128" s="20"/>
    </row>
    <row r="129" spans="13:13">
      <c r="M129" s="20"/>
    </row>
    <row r="130" spans="13:13">
      <c r="M130" s="20"/>
    </row>
    <row r="131" spans="13:13">
      <c r="M131" s="20"/>
    </row>
    <row r="132" spans="13:13">
      <c r="M132" s="20"/>
    </row>
    <row r="133" spans="13:13">
      <c r="M133" s="20"/>
    </row>
    <row r="134" spans="13:13">
      <c r="M134" s="20"/>
    </row>
    <row r="135" spans="13:13">
      <c r="M135" s="20"/>
    </row>
    <row r="136" spans="13:13">
      <c r="M136" s="20"/>
    </row>
    <row r="137" spans="13:13">
      <c r="M137" s="20"/>
    </row>
    <row r="138" spans="13:13">
      <c r="M138" s="20"/>
    </row>
    <row r="139" spans="13:13">
      <c r="M139" s="20"/>
    </row>
    <row r="140" spans="13:13">
      <c r="M140" s="20"/>
    </row>
    <row r="141" spans="13:13">
      <c r="M141" s="20"/>
    </row>
    <row r="142" spans="13:13">
      <c r="M142" s="20"/>
    </row>
    <row r="143" spans="13:13">
      <c r="M143" s="20"/>
    </row>
    <row r="144" spans="13:13">
      <c r="M144" s="20"/>
    </row>
    <row r="145" spans="13:13">
      <c r="M145" s="20"/>
    </row>
    <row r="146" spans="13:13">
      <c r="M146" s="20"/>
    </row>
    <row r="147" spans="13:13">
      <c r="M147" s="20"/>
    </row>
    <row r="148" spans="13:13">
      <c r="M148" s="20"/>
    </row>
    <row r="149" spans="13:13">
      <c r="M149" s="20"/>
    </row>
    <row r="150" spans="13:13">
      <c r="M150" s="20"/>
    </row>
    <row r="151" spans="13:13">
      <c r="M151" s="20"/>
    </row>
    <row r="152" spans="13:13">
      <c r="M152" s="20"/>
    </row>
    <row r="153" spans="13:13">
      <c r="M153" s="20"/>
    </row>
    <row r="154" spans="13:13">
      <c r="M154" s="20"/>
    </row>
    <row r="155" spans="13:13">
      <c r="M155" s="20"/>
    </row>
    <row r="156" spans="13:13">
      <c r="M156" s="20"/>
    </row>
    <row r="157" spans="13:13">
      <c r="M157" s="20"/>
    </row>
    <row r="158" spans="13:13">
      <c r="M158" s="20"/>
    </row>
    <row r="159" spans="13:13">
      <c r="M159" s="20"/>
    </row>
    <row r="160" spans="13:13">
      <c r="M160" s="20"/>
    </row>
    <row r="161" spans="13:13">
      <c r="M161" s="20"/>
    </row>
    <row r="162" spans="13:13">
      <c r="M162" s="20"/>
    </row>
    <row r="163" spans="13:13">
      <c r="M163" s="20"/>
    </row>
    <row r="164" spans="13:13">
      <c r="M164" s="20"/>
    </row>
    <row r="165" spans="13:13">
      <c r="M165" s="20"/>
    </row>
    <row r="166" spans="13:13">
      <c r="M166" s="20"/>
    </row>
    <row r="167" spans="13:13">
      <c r="M167" s="20"/>
    </row>
    <row r="168" spans="13:13">
      <c r="M168" s="20"/>
    </row>
    <row r="169" spans="13:13">
      <c r="M169" s="20"/>
    </row>
    <row r="170" spans="13:13">
      <c r="M170" s="20"/>
    </row>
    <row r="171" spans="13:13">
      <c r="M171" s="20"/>
    </row>
  </sheetData>
  <mergeCells count="1">
    <mergeCell ref="A12:D1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Deloitte excel blank template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E2A517C-2DCA-4B81-A6FE-1D5A6AF65D95}">
  <ds:schemaRefs/>
</ds:datastoreItem>
</file>

<file path=customXml/itemProps2.xml><?xml version="1.0" encoding="utf-8"?>
<ds:datastoreItem xmlns:ds="http://schemas.openxmlformats.org/officeDocument/2006/customXml" ds:itemID="{BAC8B168-15FA-4296-BFAD-7C373085E0D3}">
  <ds:schemaRefs/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2024-10-02T10:09:07Z</dcterms:created>
  <dcterms:modified xsi:type="dcterms:W3CDTF">2026-04-06T11:26:54Z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2024-05-20T11:16:06Z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81b447f9-fbda-4d1e-8323-3e7023c9bcbc</vt:lpwstr>
  </property>
  <property fmtid="{D5CDD505-2E9C-101B-9397-08002B2CF9AE}" pid="8" name="MSIP_Label_ea60d57e-af5b-4752-ac57-3e4f28ca11dc_ContentBits">
    <vt:lpwstr>0</vt:lpwstr>
  </property>
  <property fmtid="{D5CDD505-2E9C-101B-9397-08002B2CF9AE}" pid="9" name="TemplafyTenantId">
    <vt:lpwstr>deloittense</vt:lpwstr>
  </property>
  <property fmtid="{D5CDD505-2E9C-101B-9397-08002B2CF9AE}" pid="10" name="TemplafyTemplateId">
    <vt:lpwstr>916929141554545017</vt:lpwstr>
  </property>
  <property fmtid="{D5CDD505-2E9C-101B-9397-08002B2CF9AE}" pid="11" name="TemplafyUserProfileId">
    <vt:lpwstr>638233776803323964</vt:lpwstr>
  </property>
  <property fmtid="{D5CDD505-2E9C-101B-9397-08002B2CF9AE}" pid="12" name="TemplafyLanguageCode">
    <vt:lpwstr>en-GB</vt:lpwstr>
  </property>
  <property fmtid="{D5CDD505-2E9C-101B-9397-08002B2CF9AE}" pid="13" name="TemplafyFromBlank">
    <vt:bool>true</vt:bool>
  </property>
</Properties>
</file>